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e41850feb7510/Desktop/"/>
    </mc:Choice>
  </mc:AlternateContent>
  <xr:revisionPtr revIDLastSave="0" documentId="8_{B05D6FC7-DB8C-4E9F-83A7-727EDE9E1024}" xr6:coauthVersionLast="47" xr6:coauthVersionMax="47" xr10:uidLastSave="{00000000-0000-0000-0000-000000000000}"/>
  <bookViews>
    <workbookView xWindow="-120" yWindow="-120" windowWidth="20730" windowHeight="11040" activeTab="1" xr2:uid="{D8883D61-C0CF-48C8-B1CB-E511E078C1F4}"/>
  </bookViews>
  <sheets>
    <sheet name="CN-CA By Sea" sheetId="1" r:id="rId1"/>
    <sheet name="CN-CA By A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M2" i="1"/>
</calcChain>
</file>

<file path=xl/sharedStrings.xml><?xml version="1.0" encoding="utf-8"?>
<sst xmlns="http://schemas.openxmlformats.org/spreadsheetml/2006/main" count="89" uniqueCount="61">
  <si>
    <t>Company\Name</t>
    <phoneticPr fontId="1" type="noConversion"/>
  </si>
  <si>
    <t>铭创优</t>
    <phoneticPr fontId="1" type="noConversion"/>
  </si>
  <si>
    <t>海运CNY</t>
    <phoneticPr fontId="1" type="noConversion"/>
  </si>
  <si>
    <t>海运首重KG</t>
    <phoneticPr fontId="1" type="noConversion"/>
  </si>
  <si>
    <t>海运续重</t>
    <phoneticPr fontId="1" type="noConversion"/>
  </si>
  <si>
    <t>备注</t>
    <phoneticPr fontId="1" type="noConversion"/>
  </si>
  <si>
    <t>最近起运日期</t>
    <phoneticPr fontId="1" type="noConversion"/>
  </si>
  <si>
    <t>最近到货日期</t>
    <phoneticPr fontId="1" type="noConversion"/>
  </si>
  <si>
    <t>运输天数</t>
    <phoneticPr fontId="1" type="noConversion"/>
  </si>
  <si>
    <t>空运续重</t>
    <phoneticPr fontId="1" type="noConversion"/>
  </si>
  <si>
    <t>5-7</t>
    <phoneticPr fontId="1" type="noConversion"/>
  </si>
  <si>
    <t>7-12</t>
    <phoneticPr fontId="1" type="noConversion"/>
  </si>
  <si>
    <t>公司名</t>
    <phoneticPr fontId="1" type="noConversion"/>
  </si>
  <si>
    <t>项目名</t>
    <phoneticPr fontId="1" type="noConversion"/>
  </si>
  <si>
    <t>45-65</t>
    <phoneticPr fontId="1" type="noConversion"/>
  </si>
  <si>
    <t>包税/门到门/免费合包/免费仓存1年/2周一班船</t>
    <phoneticPr fontId="1" type="noConversion"/>
  </si>
  <si>
    <t>支付币种</t>
    <phoneticPr fontId="1" type="noConversion"/>
  </si>
  <si>
    <t>CNY/CAD</t>
    <phoneticPr fontId="1" type="noConversion"/>
  </si>
  <si>
    <t>速比迪</t>
    <phoneticPr fontId="1" type="noConversion"/>
  </si>
  <si>
    <t>计费重(厘米)</t>
    <phoneticPr fontId="1" type="noConversion"/>
  </si>
  <si>
    <t>长×宽×高/6000</t>
    <phoneticPr fontId="1" type="noConversion"/>
  </si>
  <si>
    <t>长×宽×高/5000</t>
    <phoneticPr fontId="1" type="noConversion"/>
  </si>
  <si>
    <t>3-5</t>
    <phoneticPr fontId="1" type="noConversion"/>
  </si>
  <si>
    <t>14</t>
    <phoneticPr fontId="1" type="noConversion"/>
  </si>
  <si>
    <t>敏货CNY</t>
    <phoneticPr fontId="1" type="noConversion"/>
  </si>
  <si>
    <t>远洋通-渥太华UPS</t>
    <phoneticPr fontId="1" type="noConversion"/>
  </si>
  <si>
    <t>空敏</t>
    <phoneticPr fontId="1" type="noConversion"/>
  </si>
  <si>
    <t>空普</t>
    <phoneticPr fontId="1" type="noConversion"/>
  </si>
  <si>
    <t>空运首重
KG</t>
    <phoneticPr fontId="1" type="noConversion"/>
  </si>
  <si>
    <t>万象空运</t>
    <phoneticPr fontId="1" type="noConversion"/>
  </si>
  <si>
    <t>取货地址</t>
    <phoneticPr fontId="1" type="noConversion"/>
  </si>
  <si>
    <t>包税/免费合包</t>
    <phoneticPr fontId="1" type="noConversion"/>
  </si>
  <si>
    <t>门到门</t>
    <phoneticPr fontId="1" type="noConversion"/>
  </si>
  <si>
    <t>快线</t>
    <phoneticPr fontId="1" type="noConversion"/>
  </si>
  <si>
    <t>慢线</t>
    <phoneticPr fontId="1" type="noConversion"/>
  </si>
  <si>
    <t>6.99/0.1kg</t>
    <phoneticPr fontId="1" type="noConversion"/>
  </si>
  <si>
    <t>2</t>
    <phoneticPr fontId="1" type="noConversion"/>
  </si>
  <si>
    <t>5.99/0.1kg</t>
    <phoneticPr fontId="1" type="noConversion"/>
  </si>
  <si>
    <t>服装快线</t>
    <phoneticPr fontId="1" type="noConversion"/>
  </si>
  <si>
    <t>2-5</t>
    <phoneticPr fontId="1" type="noConversion"/>
  </si>
  <si>
    <t>7.99/0.1kg</t>
    <phoneticPr fontId="1" type="noConversion"/>
  </si>
  <si>
    <t>万象美驿小程序</t>
    <phoneticPr fontId="1" type="noConversion"/>
  </si>
  <si>
    <t>阿凡提集运</t>
    <phoneticPr fontId="1" type="noConversion"/>
  </si>
  <si>
    <t>460CAD</t>
    <phoneticPr fontId="1" type="noConversion"/>
  </si>
  <si>
    <t>普货</t>
    <phoneticPr fontId="1" type="noConversion"/>
  </si>
  <si>
    <t>电器</t>
    <phoneticPr fontId="1" type="noConversion"/>
  </si>
  <si>
    <t>食品</t>
    <phoneticPr fontId="1" type="noConversion"/>
  </si>
  <si>
    <t>书籍</t>
    <phoneticPr fontId="1" type="noConversion"/>
  </si>
  <si>
    <t>海运CAD</t>
    <phoneticPr fontId="1" type="noConversion"/>
  </si>
  <si>
    <t>时效(天数)</t>
    <phoneticPr fontId="1" type="noConversion"/>
  </si>
  <si>
    <t>一方续重
CNY</t>
    <phoneticPr fontId="1" type="noConversion"/>
  </si>
  <si>
    <t>最近起运
日期</t>
    <phoneticPr fontId="1" type="noConversion"/>
  </si>
  <si>
    <t>最近到货
日期</t>
    <phoneticPr fontId="1" type="noConversion"/>
  </si>
  <si>
    <t>陆港国际集运</t>
    <phoneticPr fontId="1" type="noConversion"/>
  </si>
  <si>
    <t>快普</t>
    <phoneticPr fontId="1" type="noConversion"/>
  </si>
  <si>
    <t>直普</t>
    <phoneticPr fontId="1" type="noConversion"/>
  </si>
  <si>
    <t>快敏</t>
    <phoneticPr fontId="1" type="noConversion"/>
  </si>
  <si>
    <t>直敏</t>
    <phoneticPr fontId="1" type="noConversion"/>
  </si>
  <si>
    <t>一方</t>
    <phoneticPr fontId="1" type="noConversion"/>
  </si>
  <si>
    <t>空运/KG
CNY/CAD</t>
    <phoneticPr fontId="1" type="noConversion"/>
  </si>
  <si>
    <t>时效
(天数）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</si>
</sst>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[$$-1009]#,##0.00;\-[$$-1009]#,##0.00"/>
    <numFmt numFmtId="178" formatCode="[$$-1009]#,##0;\-[$$-1009]#,##0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5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624F-4D5A-46C8-9A49-92039AF421B8}">
  <dimension ref="A1:P1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5" sqref="E5"/>
    </sheetView>
  </sheetViews>
  <sheetFormatPr defaultRowHeight="14.25"/>
  <cols>
    <col min="1" max="1" width="11.875" customWidth="1"/>
    <col min="2" max="2" width="4.25" customWidth="1"/>
    <col min="3" max="3" width="5.375" style="5" customWidth="1"/>
    <col min="4" max="4" width="5.625" style="4" customWidth="1"/>
    <col min="5" max="5" width="8.5" style="1" customWidth="1"/>
    <col min="6" max="6" width="8.125" style="1" customWidth="1"/>
    <col min="7" max="7" width="4.75" style="4" customWidth="1"/>
    <col min="8" max="8" width="6.75" style="1" customWidth="1"/>
    <col min="9" max="9" width="5.125" customWidth="1"/>
    <col min="10" max="10" width="9.25" customWidth="1"/>
    <col min="11" max="11" width="11.125" style="1" customWidth="1"/>
    <col min="12" max="12" width="13" style="1" customWidth="1"/>
    <col min="13" max="13" width="9.125" customWidth="1"/>
    <col min="15" max="15" width="13.75" customWidth="1"/>
    <col min="16" max="16" width="21.375" customWidth="1"/>
  </cols>
  <sheetData>
    <row r="1" spans="1:16" s="6" customFormat="1" ht="28.5">
      <c r="A1" s="7" t="s">
        <v>0</v>
      </c>
      <c r="B1" s="7"/>
      <c r="C1" s="8" t="s">
        <v>48</v>
      </c>
      <c r="D1" s="9" t="s">
        <v>2</v>
      </c>
      <c r="E1" s="10" t="s">
        <v>3</v>
      </c>
      <c r="F1" s="10" t="s">
        <v>4</v>
      </c>
      <c r="G1" s="9" t="s">
        <v>24</v>
      </c>
      <c r="H1" s="10" t="s">
        <v>49</v>
      </c>
      <c r="I1" s="11" t="s">
        <v>58</v>
      </c>
      <c r="J1" s="10" t="s">
        <v>50</v>
      </c>
      <c r="K1" s="10" t="s">
        <v>51</v>
      </c>
      <c r="L1" s="10" t="s">
        <v>52</v>
      </c>
      <c r="M1" s="11" t="s">
        <v>8</v>
      </c>
      <c r="N1" s="11" t="s">
        <v>16</v>
      </c>
      <c r="O1" s="10" t="s">
        <v>19</v>
      </c>
      <c r="P1" s="10" t="s">
        <v>5</v>
      </c>
    </row>
    <row r="2" spans="1:16" ht="28.5">
      <c r="A2" s="27" t="s">
        <v>1</v>
      </c>
      <c r="B2" s="27"/>
      <c r="C2" s="14"/>
      <c r="D2" s="15">
        <v>23</v>
      </c>
      <c r="E2" s="16">
        <v>30</v>
      </c>
      <c r="F2" s="16"/>
      <c r="G2" s="15">
        <v>23</v>
      </c>
      <c r="H2" s="16" t="s">
        <v>14</v>
      </c>
      <c r="I2" s="16">
        <v>2850</v>
      </c>
      <c r="J2" s="16">
        <v>2650</v>
      </c>
      <c r="K2" s="17">
        <v>46009</v>
      </c>
      <c r="L2" s="17">
        <v>46055</v>
      </c>
      <c r="M2" s="16">
        <f>L2-K2</f>
        <v>46</v>
      </c>
      <c r="N2" s="13" t="s">
        <v>17</v>
      </c>
      <c r="O2" s="13" t="s">
        <v>20</v>
      </c>
      <c r="P2" s="18" t="s">
        <v>15</v>
      </c>
    </row>
    <row r="3" spans="1:16" ht="28.5">
      <c r="A3" s="27" t="s">
        <v>18</v>
      </c>
      <c r="B3" s="27"/>
      <c r="C3" s="14"/>
      <c r="D3" s="15">
        <v>29</v>
      </c>
      <c r="E3" s="16">
        <v>0.5</v>
      </c>
      <c r="F3" s="16">
        <v>0.5</v>
      </c>
      <c r="G3" s="15">
        <v>45</v>
      </c>
      <c r="H3" s="16">
        <v>60</v>
      </c>
      <c r="I3" s="13"/>
      <c r="J3" s="13"/>
      <c r="K3" s="16"/>
      <c r="L3" s="16"/>
      <c r="M3" s="13"/>
      <c r="N3" s="13" t="s">
        <v>17</v>
      </c>
      <c r="O3" s="13" t="s">
        <v>21</v>
      </c>
      <c r="P3" s="18" t="s">
        <v>15</v>
      </c>
    </row>
    <row r="4" spans="1:16">
      <c r="A4" s="27" t="s">
        <v>42</v>
      </c>
      <c r="B4" s="28" t="s">
        <v>44</v>
      </c>
      <c r="C4" s="14">
        <v>4</v>
      </c>
      <c r="D4" s="15"/>
      <c r="E4" s="16"/>
      <c r="F4" s="16"/>
      <c r="G4" s="15"/>
      <c r="H4" s="16"/>
      <c r="I4" s="13" t="s">
        <v>43</v>
      </c>
      <c r="J4" s="13"/>
      <c r="K4" s="16"/>
      <c r="L4" s="16"/>
      <c r="M4" s="13"/>
      <c r="N4" s="12" t="s">
        <v>17</v>
      </c>
      <c r="O4" s="12" t="s">
        <v>20</v>
      </c>
      <c r="P4" s="19"/>
    </row>
    <row r="5" spans="1:16">
      <c r="A5" s="27"/>
      <c r="B5" s="28" t="s">
        <v>45</v>
      </c>
      <c r="C5" s="14">
        <v>5.5</v>
      </c>
      <c r="D5" s="15"/>
      <c r="E5" s="16"/>
      <c r="F5" s="16"/>
      <c r="G5" s="15"/>
      <c r="H5" s="16"/>
      <c r="I5" s="13"/>
      <c r="J5" s="13"/>
      <c r="K5" s="16"/>
      <c r="L5" s="16"/>
      <c r="M5" s="13"/>
      <c r="N5" s="12"/>
      <c r="O5" s="12"/>
      <c r="P5" s="20"/>
    </row>
    <row r="6" spans="1:16">
      <c r="A6" s="27"/>
      <c r="B6" s="28" t="s">
        <v>46</v>
      </c>
      <c r="C6" s="14">
        <v>5.5</v>
      </c>
      <c r="D6" s="15"/>
      <c r="E6" s="16"/>
      <c r="F6" s="16"/>
      <c r="G6" s="15"/>
      <c r="H6" s="16"/>
      <c r="I6" s="13"/>
      <c r="J6" s="13"/>
      <c r="K6" s="16"/>
      <c r="L6" s="16"/>
      <c r="M6" s="13"/>
      <c r="N6" s="12"/>
      <c r="O6" s="12"/>
      <c r="P6" s="20"/>
    </row>
    <row r="7" spans="1:16">
      <c r="A7" s="27"/>
      <c r="B7" s="28" t="s">
        <v>47</v>
      </c>
      <c r="C7" s="14">
        <v>3</v>
      </c>
      <c r="D7" s="15"/>
      <c r="E7" s="16"/>
      <c r="F7" s="16"/>
      <c r="G7" s="15"/>
      <c r="H7" s="16"/>
      <c r="I7" s="13"/>
      <c r="J7" s="13"/>
      <c r="K7" s="16"/>
      <c r="L7" s="16"/>
      <c r="M7" s="13"/>
      <c r="N7" s="12"/>
      <c r="O7" s="12"/>
      <c r="P7" s="21"/>
    </row>
    <row r="8" spans="1:16">
      <c r="A8" s="27" t="s">
        <v>25</v>
      </c>
      <c r="B8" s="27"/>
      <c r="C8" s="14"/>
      <c r="D8" s="15">
        <v>38</v>
      </c>
      <c r="E8" s="16"/>
      <c r="F8" s="16"/>
      <c r="G8" s="15"/>
      <c r="H8" s="16"/>
      <c r="I8" s="13"/>
      <c r="J8" s="13"/>
      <c r="K8" s="16"/>
      <c r="L8" s="16"/>
      <c r="M8" s="13"/>
      <c r="N8" s="13" t="s">
        <v>17</v>
      </c>
      <c r="O8" s="13" t="s">
        <v>20</v>
      </c>
      <c r="P8" s="13"/>
    </row>
    <row r="9" spans="1:16">
      <c r="A9" s="27" t="s">
        <v>53</v>
      </c>
      <c r="B9" s="29" t="s">
        <v>55</v>
      </c>
      <c r="C9" s="14"/>
      <c r="D9" s="15">
        <v>28</v>
      </c>
      <c r="E9" s="16">
        <v>10</v>
      </c>
      <c r="F9" s="16">
        <v>1</v>
      </c>
      <c r="G9" s="15"/>
      <c r="H9" s="16"/>
      <c r="I9" s="13"/>
      <c r="J9" s="13"/>
      <c r="K9" s="16"/>
      <c r="L9" s="16"/>
      <c r="M9" s="13"/>
      <c r="N9" s="19" t="s">
        <v>17</v>
      </c>
      <c r="O9" s="19" t="s">
        <v>20</v>
      </c>
      <c r="P9" s="19"/>
    </row>
    <row r="10" spans="1:16">
      <c r="A10" s="27"/>
      <c r="B10" s="28" t="s">
        <v>54</v>
      </c>
      <c r="C10" s="14"/>
      <c r="D10" s="15">
        <v>34</v>
      </c>
      <c r="E10" s="16">
        <v>6</v>
      </c>
      <c r="F10" s="16">
        <v>1</v>
      </c>
      <c r="G10" s="15"/>
      <c r="H10" s="16"/>
      <c r="I10" s="13"/>
      <c r="J10" s="13"/>
      <c r="K10" s="16"/>
      <c r="L10" s="16"/>
      <c r="M10" s="13"/>
      <c r="N10" s="20"/>
      <c r="O10" s="20"/>
      <c r="P10" s="20"/>
    </row>
    <row r="11" spans="1:16">
      <c r="A11" s="27"/>
      <c r="B11" s="28" t="s">
        <v>57</v>
      </c>
      <c r="C11" s="14"/>
      <c r="D11" s="15"/>
      <c r="E11" s="16">
        <v>10</v>
      </c>
      <c r="F11" s="16"/>
      <c r="G11" s="15">
        <v>30</v>
      </c>
      <c r="H11" s="16"/>
      <c r="I11" s="13"/>
      <c r="J11" s="13"/>
      <c r="K11" s="16"/>
      <c r="L11" s="16"/>
      <c r="M11" s="13"/>
      <c r="N11" s="20"/>
      <c r="O11" s="20"/>
      <c r="P11" s="20"/>
    </row>
    <row r="12" spans="1:16">
      <c r="A12" s="27"/>
      <c r="B12" s="28" t="s">
        <v>56</v>
      </c>
      <c r="C12" s="14"/>
      <c r="D12" s="15"/>
      <c r="E12" s="16">
        <v>10</v>
      </c>
      <c r="F12" s="16"/>
      <c r="G12" s="15">
        <v>38</v>
      </c>
      <c r="H12" s="16"/>
      <c r="I12" s="13"/>
      <c r="J12" s="13"/>
      <c r="K12" s="16"/>
      <c r="L12" s="16"/>
      <c r="M12" s="13"/>
      <c r="N12" s="21"/>
      <c r="O12" s="21"/>
      <c r="P12" s="21"/>
    </row>
  </sheetData>
  <mergeCells count="12">
    <mergeCell ref="O4:O7"/>
    <mergeCell ref="A9:A12"/>
    <mergeCell ref="P4:P7"/>
    <mergeCell ref="P9:P12"/>
    <mergeCell ref="O9:O12"/>
    <mergeCell ref="N9:N12"/>
    <mergeCell ref="A4:A7"/>
    <mergeCell ref="A1:B1"/>
    <mergeCell ref="A2:B2"/>
    <mergeCell ref="A3:B3"/>
    <mergeCell ref="A8:B8"/>
    <mergeCell ref="N4:N7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31B5-6832-4840-A0C5-5B5CBB16A2EA}">
  <dimension ref="A1:L11"/>
  <sheetViews>
    <sheetView tabSelected="1" workbookViewId="0">
      <selection activeCell="H10" sqref="H10"/>
    </sheetView>
  </sheetViews>
  <sheetFormatPr defaultRowHeight="14.25"/>
  <cols>
    <col min="1" max="1" width="16.75" customWidth="1"/>
    <col min="2" max="2" width="9" bestFit="1" customWidth="1"/>
    <col min="3" max="3" width="8.125" customWidth="1"/>
    <col min="4" max="4" width="9.25" customWidth="1"/>
    <col min="5" max="5" width="6" customWidth="1"/>
    <col min="6" max="6" width="9.25" customWidth="1"/>
    <col min="7" max="7" width="7.5" style="3" customWidth="1"/>
    <col min="8" max="8" width="12.375" customWidth="1"/>
    <col min="9" max="9" width="11.875" customWidth="1"/>
    <col min="12" max="12" width="15.125" bestFit="1" customWidth="1"/>
  </cols>
  <sheetData>
    <row r="1" spans="1:12" s="2" customFormat="1">
      <c r="A1" s="24" t="s">
        <v>0</v>
      </c>
      <c r="B1" s="24"/>
      <c r="C1" s="24"/>
      <c r="D1" s="7" t="s">
        <v>59</v>
      </c>
      <c r="E1" s="7" t="s">
        <v>28</v>
      </c>
      <c r="F1" s="7" t="s">
        <v>9</v>
      </c>
      <c r="G1" s="30" t="s">
        <v>60</v>
      </c>
      <c r="H1" s="24" t="s">
        <v>6</v>
      </c>
      <c r="I1" s="24" t="s">
        <v>7</v>
      </c>
      <c r="J1" s="24" t="s">
        <v>8</v>
      </c>
      <c r="K1" s="24" t="s">
        <v>30</v>
      </c>
      <c r="L1" s="24" t="s">
        <v>5</v>
      </c>
    </row>
    <row r="2" spans="1:12" ht="12" customHeight="1">
      <c r="A2" s="25" t="s">
        <v>12</v>
      </c>
      <c r="B2" s="26" t="s">
        <v>13</v>
      </c>
      <c r="C2" s="26"/>
      <c r="D2" s="24"/>
      <c r="E2" s="24"/>
      <c r="F2" s="7"/>
      <c r="G2" s="30"/>
      <c r="H2" s="24"/>
      <c r="I2" s="24"/>
      <c r="J2" s="24"/>
      <c r="K2" s="24"/>
      <c r="L2" s="24"/>
    </row>
    <row r="3" spans="1:12" ht="59.25" customHeight="1">
      <c r="A3" s="27" t="s">
        <v>1</v>
      </c>
      <c r="B3" s="16" t="s">
        <v>27</v>
      </c>
      <c r="C3" s="16" t="s">
        <v>33</v>
      </c>
      <c r="D3" s="15">
        <v>189</v>
      </c>
      <c r="E3" s="16">
        <v>0.5</v>
      </c>
      <c r="F3" s="16">
        <v>49</v>
      </c>
      <c r="G3" s="22" t="s">
        <v>10</v>
      </c>
      <c r="H3" s="23"/>
      <c r="I3" s="23"/>
      <c r="J3" s="23"/>
      <c r="K3" s="17" t="s">
        <v>32</v>
      </c>
      <c r="L3" s="31" t="s">
        <v>31</v>
      </c>
    </row>
    <row r="4" spans="1:12">
      <c r="A4" s="27"/>
      <c r="B4" s="16" t="s">
        <v>27</v>
      </c>
      <c r="C4" s="16" t="s">
        <v>34</v>
      </c>
      <c r="D4" s="15">
        <v>119</v>
      </c>
      <c r="E4" s="16">
        <v>0.5</v>
      </c>
      <c r="F4" s="16">
        <v>39</v>
      </c>
      <c r="G4" s="22" t="s">
        <v>11</v>
      </c>
      <c r="H4" s="13"/>
      <c r="I4" s="13"/>
      <c r="J4" s="13"/>
      <c r="K4" s="17" t="s">
        <v>32</v>
      </c>
      <c r="L4" s="16"/>
    </row>
    <row r="5" spans="1:12">
      <c r="A5" s="27"/>
      <c r="B5" s="16" t="s">
        <v>26</v>
      </c>
      <c r="C5" s="16" t="s">
        <v>34</v>
      </c>
      <c r="D5" s="15">
        <v>139</v>
      </c>
      <c r="E5" s="16">
        <v>0.5</v>
      </c>
      <c r="F5" s="16">
        <v>42</v>
      </c>
      <c r="G5" s="22" t="s">
        <v>11</v>
      </c>
      <c r="H5" s="13"/>
      <c r="I5" s="13"/>
      <c r="J5" s="13"/>
      <c r="K5" s="17" t="s">
        <v>32</v>
      </c>
      <c r="L5" s="16"/>
    </row>
    <row r="6" spans="1:12">
      <c r="A6" s="27" t="s">
        <v>18</v>
      </c>
      <c r="B6" s="16" t="s">
        <v>27</v>
      </c>
      <c r="C6" s="16"/>
      <c r="D6" s="15">
        <f>48*2</f>
        <v>96</v>
      </c>
      <c r="E6" s="16">
        <v>0.5</v>
      </c>
      <c r="F6" s="16">
        <v>0.1</v>
      </c>
      <c r="G6" s="22" t="s">
        <v>22</v>
      </c>
      <c r="H6" s="13"/>
      <c r="I6" s="13"/>
      <c r="J6" s="13"/>
      <c r="K6" s="16"/>
      <c r="L6" s="16"/>
    </row>
    <row r="7" spans="1:12">
      <c r="A7" s="27"/>
      <c r="B7" s="16" t="s">
        <v>26</v>
      </c>
      <c r="C7" s="16"/>
      <c r="D7" s="15">
        <f>56*2</f>
        <v>112</v>
      </c>
      <c r="E7" s="16">
        <v>0.5</v>
      </c>
      <c r="F7" s="16">
        <v>0.5</v>
      </c>
      <c r="G7" s="22" t="s">
        <v>23</v>
      </c>
      <c r="H7" s="13"/>
      <c r="I7" s="13"/>
      <c r="J7" s="13"/>
      <c r="K7" s="16"/>
      <c r="L7" s="16"/>
    </row>
    <row r="8" spans="1:12">
      <c r="A8" s="28" t="s">
        <v>25</v>
      </c>
      <c r="B8" s="16" t="s">
        <v>26</v>
      </c>
      <c r="C8" s="16"/>
      <c r="D8" s="15">
        <v>110</v>
      </c>
      <c r="E8" s="13"/>
      <c r="F8" s="13"/>
      <c r="G8" s="22"/>
      <c r="H8" s="13"/>
      <c r="I8" s="13"/>
      <c r="J8" s="13"/>
      <c r="K8" s="16"/>
      <c r="L8" s="16"/>
    </row>
    <row r="9" spans="1:12">
      <c r="A9" s="27" t="s">
        <v>29</v>
      </c>
      <c r="B9" s="16" t="s">
        <v>27</v>
      </c>
      <c r="C9" s="16" t="s">
        <v>33</v>
      </c>
      <c r="D9" s="32">
        <v>13.98</v>
      </c>
      <c r="E9" s="16">
        <v>0.2</v>
      </c>
      <c r="F9" s="16" t="s">
        <v>35</v>
      </c>
      <c r="G9" s="22" t="s">
        <v>36</v>
      </c>
      <c r="H9" s="13"/>
      <c r="I9" s="13"/>
      <c r="J9" s="13"/>
      <c r="K9" s="16"/>
      <c r="L9" s="16" t="s">
        <v>21</v>
      </c>
    </row>
    <row r="10" spans="1:12">
      <c r="A10" s="27"/>
      <c r="B10" s="16" t="s">
        <v>27</v>
      </c>
      <c r="C10" s="16" t="s">
        <v>38</v>
      </c>
      <c r="D10" s="32">
        <v>11.98</v>
      </c>
      <c r="E10" s="16">
        <v>0.2</v>
      </c>
      <c r="F10" s="13" t="s">
        <v>37</v>
      </c>
      <c r="G10" s="22" t="s">
        <v>36</v>
      </c>
      <c r="H10" s="13"/>
      <c r="I10" s="13"/>
      <c r="J10" s="13"/>
      <c r="K10" s="16"/>
      <c r="L10" s="16"/>
    </row>
    <row r="11" spans="1:12">
      <c r="A11" s="27"/>
      <c r="B11" s="16" t="s">
        <v>26</v>
      </c>
      <c r="C11" s="16"/>
      <c r="D11" s="32">
        <v>15.98</v>
      </c>
      <c r="E11" s="16">
        <v>0.2</v>
      </c>
      <c r="F11" s="13" t="s">
        <v>40</v>
      </c>
      <c r="G11" s="22" t="s">
        <v>39</v>
      </c>
      <c r="H11" s="13"/>
      <c r="I11" s="13"/>
      <c r="J11" s="13"/>
      <c r="K11" s="16"/>
      <c r="L11" s="16" t="s">
        <v>41</v>
      </c>
    </row>
  </sheetData>
  <mergeCells count="14">
    <mergeCell ref="I1:I2"/>
    <mergeCell ref="J1:J2"/>
    <mergeCell ref="L1:L2"/>
    <mergeCell ref="A3:A5"/>
    <mergeCell ref="D1:D2"/>
    <mergeCell ref="E1:E2"/>
    <mergeCell ref="F1:F2"/>
    <mergeCell ref="G1:G2"/>
    <mergeCell ref="K1:K2"/>
    <mergeCell ref="A6:A7"/>
    <mergeCell ref="A1:C1"/>
    <mergeCell ref="B2:C2"/>
    <mergeCell ref="A9:A11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CN-CA By Sea</vt:lpstr>
      <vt:lpstr>CN-CA By 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e23120</dc:creator>
  <cp:lastModifiedBy>Luqian（Lydia） Li</cp:lastModifiedBy>
  <dcterms:created xsi:type="dcterms:W3CDTF">2026-02-15T18:56:19Z</dcterms:created>
  <dcterms:modified xsi:type="dcterms:W3CDTF">2026-02-19T19:21:57Z</dcterms:modified>
</cp:coreProperties>
</file>